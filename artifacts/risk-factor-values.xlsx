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  <sheet xmlns:r="http://schemas.openxmlformats.org/officeDocument/2006/relationships" name="Weights" sheetId="2" state="visible" r:id="rId2"/>
    <sheet xmlns:r="http://schemas.openxmlformats.org/officeDocument/2006/relationships" name="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5" customWidth="1" min="4" max="4"/>
    <col width="20" customWidth="1" min="5" max="5"/>
    <col width="8" customWidth="1" min="6" max="6"/>
    <col width="10" customWidth="1" min="7" max="7"/>
    <col width="11" customWidth="1" min="8" max="8"/>
    <col width="26" customWidth="1" min="9" max="9"/>
    <col width="14" customWidth="1" min="10" max="10"/>
    <col width="14" customWidth="1" min="11" max="11"/>
  </cols>
  <sheetData>
    <row r="1">
      <c r="A1" s="1" t="inlineStr">
        <is>
          <t>Field Visit Risk Assessment: risk factor values (SYNTHETIC, fictional program)</t>
        </is>
      </c>
    </row>
    <row r="3">
      <c r="A3" s="1" t="inlineStr">
        <is>
          <t>ID</t>
        </is>
      </c>
      <c r="B3" s="1" t="inlineStr">
        <is>
          <t>Category</t>
        </is>
      </c>
      <c r="C3" s="1" t="inlineStr">
        <is>
          <t>Factor</t>
        </is>
      </c>
      <c r="D3" s="1" t="inlineStr">
        <is>
          <t>Weight category</t>
        </is>
      </c>
      <c r="E3" s="1" t="inlineStr">
        <is>
          <t>Answer</t>
        </is>
      </c>
      <c r="F3" s="1" t="inlineStr">
        <is>
          <t>Weight</t>
        </is>
      </c>
      <c r="G3" s="1" t="inlineStr">
        <is>
          <t>Risk score</t>
        </is>
      </c>
      <c r="H3" s="1" t="inlineStr">
        <is>
          <t>Uncertainty</t>
        </is>
      </c>
      <c r="I3" s="1" t="inlineStr">
        <is>
          <t>Row risk</t>
        </is>
      </c>
      <c r="J3" s="1" t="inlineStr">
        <is>
          <t>Row uncertainty</t>
        </is>
      </c>
      <c r="K3" s="1" t="inlineStr">
        <is>
          <t>Critical warning</t>
        </is>
      </c>
    </row>
    <row r="4">
      <c r="A4" t="inlineStr">
        <is>
          <t>L1</t>
        </is>
      </c>
      <c r="B4" t="inlineStr">
        <is>
          <t>Likelihood</t>
        </is>
      </c>
      <c r="C4" t="inlineStr">
        <is>
          <t>Prior hostile contact at site</t>
        </is>
      </c>
      <c r="D4" t="inlineStr">
        <is>
          <t>Critical</t>
        </is>
      </c>
      <c r="E4" s="2" t="inlineStr">
        <is>
          <t>None known</t>
        </is>
      </c>
      <c r="F4">
        <f>VLOOKUP(D4,Weights!$A$2:$B$5,2,FALSE)</f>
        <v/>
      </c>
      <c r="G4">
        <f>INDEX(Options!$D$2:$D$37,MATCH(A4&amp;"|"&amp;E4,Options!$A$2:$A$37,0))</f>
        <v/>
      </c>
      <c r="H4">
        <f>INDEX(Options!$E$2:$E$37,MATCH(A4&amp;"|"&amp;E4,Options!$A$2:$A$37,0))</f>
        <v/>
      </c>
      <c r="I4">
        <f>G4*F4</f>
        <v/>
      </c>
      <c r="J4">
        <f>H4*F4</f>
        <v/>
      </c>
      <c r="K4">
        <f>IF(AND(D4="Critical",G4=10),1,0)</f>
        <v/>
      </c>
    </row>
    <row r="5">
      <c r="A5" t="inlineStr">
        <is>
          <t>L2</t>
        </is>
      </c>
      <c r="B5" t="inlineStr">
        <is>
          <t>Likelihood</t>
        </is>
      </c>
      <c r="C5" t="inlineStr">
        <is>
          <t>Remote or hard-to-reach site</t>
        </is>
      </c>
      <c r="D5" t="inlineStr">
        <is>
          <t>Medium</t>
        </is>
      </c>
      <c r="E5" s="2" t="inlineStr">
        <is>
          <t>None known</t>
        </is>
      </c>
      <c r="F5">
        <f>VLOOKUP(D5,Weights!$A$2:$B$5,2,FALSE)</f>
        <v/>
      </c>
      <c r="G5">
        <f>INDEX(Options!$D$2:$D$37,MATCH(A5&amp;"|"&amp;E5,Options!$A$2:$A$37,0))</f>
        <v/>
      </c>
      <c r="H5">
        <f>INDEX(Options!$E$2:$E$37,MATCH(A5&amp;"|"&amp;E5,Options!$A$2:$A$37,0))</f>
        <v/>
      </c>
      <c r="I5">
        <f>G5*F5</f>
        <v/>
      </c>
      <c r="J5">
        <f>H5*F5</f>
        <v/>
      </c>
      <c r="K5">
        <f>IF(AND(D5="Critical",G5=10),1,0)</f>
        <v/>
      </c>
    </row>
    <row r="6">
      <c r="A6" t="inlineStr">
        <is>
          <t>L3</t>
        </is>
      </c>
      <c r="B6" t="inlineStr">
        <is>
          <t>Likelihood</t>
        </is>
      </c>
      <c r="C6" t="inlineStr">
        <is>
          <t>Working alone</t>
        </is>
      </c>
      <c r="D6" t="inlineStr">
        <is>
          <t>High</t>
        </is>
      </c>
      <c r="E6" s="2" t="inlineStr">
        <is>
          <t>None known</t>
        </is>
      </c>
      <c r="F6">
        <f>VLOOKUP(D6,Weights!$A$2:$B$5,2,FALSE)</f>
        <v/>
      </c>
      <c r="G6">
        <f>INDEX(Options!$D$2:$D$37,MATCH(A6&amp;"|"&amp;E6,Options!$A$2:$A$37,0))</f>
        <v/>
      </c>
      <c r="H6">
        <f>INDEX(Options!$E$2:$E$37,MATCH(A6&amp;"|"&amp;E6,Options!$A$2:$A$37,0))</f>
        <v/>
      </c>
      <c r="I6">
        <f>G6*F6</f>
        <v/>
      </c>
      <c r="J6">
        <f>H6*F6</f>
        <v/>
      </c>
      <c r="K6">
        <f>IF(AND(D6="Critical",G6=10),1,0)</f>
        <v/>
      </c>
    </row>
    <row r="7">
      <c r="A7" t="inlineStr">
        <is>
          <t>C1</t>
        </is>
      </c>
      <c r="B7" t="inlineStr">
        <is>
          <t>Consequence</t>
        </is>
      </c>
      <c r="C7" t="inlineStr">
        <is>
          <t>Hazardous materials on site</t>
        </is>
      </c>
      <c r="D7" t="inlineStr">
        <is>
          <t>Critical</t>
        </is>
      </c>
      <c r="E7" s="2" t="inlineStr">
        <is>
          <t>None known</t>
        </is>
      </c>
      <c r="F7">
        <f>VLOOKUP(D7,Weights!$A$2:$B$5,2,FALSE)</f>
        <v/>
      </c>
      <c r="G7">
        <f>INDEX(Options!$D$2:$D$37,MATCH(A7&amp;"|"&amp;E7,Options!$A$2:$A$37,0))</f>
        <v/>
      </c>
      <c r="H7">
        <f>INDEX(Options!$E$2:$E$37,MATCH(A7&amp;"|"&amp;E7,Options!$A$2:$A$37,0))</f>
        <v/>
      </c>
      <c r="I7">
        <f>G7*F7</f>
        <v/>
      </c>
      <c r="J7">
        <f>H7*F7</f>
        <v/>
      </c>
      <c r="K7">
        <f>IF(AND(D7="Critical",G7=10),1,0)</f>
        <v/>
      </c>
    </row>
    <row r="8">
      <c r="A8" t="inlineStr">
        <is>
          <t>C2</t>
        </is>
      </c>
      <c r="B8" t="inlineStr">
        <is>
          <t>Consequence</t>
        </is>
      </c>
      <c r="C8" t="inlineStr">
        <is>
          <t>Distance to medical help</t>
        </is>
      </c>
      <c r="D8" t="inlineStr">
        <is>
          <t>Medium</t>
        </is>
      </c>
      <c r="E8" s="2" t="inlineStr">
        <is>
          <t>None known</t>
        </is>
      </c>
      <c r="F8">
        <f>VLOOKUP(D8,Weights!$A$2:$B$5,2,FALSE)</f>
        <v/>
      </c>
      <c r="G8">
        <f>INDEX(Options!$D$2:$D$37,MATCH(A8&amp;"|"&amp;E8,Options!$A$2:$A$37,0))</f>
        <v/>
      </c>
      <c r="H8">
        <f>INDEX(Options!$E$2:$E$37,MATCH(A8&amp;"|"&amp;E8,Options!$A$2:$A$37,0))</f>
        <v/>
      </c>
      <c r="I8">
        <f>G8*F8</f>
        <v/>
      </c>
      <c r="J8">
        <f>H8*F8</f>
        <v/>
      </c>
      <c r="K8">
        <f>IF(AND(D8="Critical",G8=10),1,0)</f>
        <v/>
      </c>
    </row>
    <row r="9">
      <c r="A9" t="inlineStr">
        <is>
          <t>C3</t>
        </is>
      </c>
      <c r="B9" t="inlineStr">
        <is>
          <t>Consequence</t>
        </is>
      </c>
      <c r="C9" t="inlineStr">
        <is>
          <t>Severe weather</t>
        </is>
      </c>
      <c r="D9" t="inlineStr">
        <is>
          <t>Low</t>
        </is>
      </c>
      <c r="E9" s="2" t="inlineStr">
        <is>
          <t>None known</t>
        </is>
      </c>
      <c r="F9">
        <f>VLOOKUP(D9,Weights!$A$2:$B$5,2,FALSE)</f>
        <v/>
      </c>
      <c r="G9">
        <f>INDEX(Options!$D$2:$D$37,MATCH(A9&amp;"|"&amp;E9,Options!$A$2:$A$37,0))</f>
        <v/>
      </c>
      <c r="H9">
        <f>INDEX(Options!$E$2:$E$37,MATCH(A9&amp;"|"&amp;E9,Options!$A$2:$A$37,0))</f>
        <v/>
      </c>
      <c r="I9">
        <f>G9*F9</f>
        <v/>
      </c>
      <c r="J9">
        <f>H9*F9</f>
        <v/>
      </c>
      <c r="K9">
        <f>IF(AND(D9="Critical",G9=10),1,0)</f>
        <v/>
      </c>
    </row>
    <row r="10">
      <c r="A10" t="inlineStr">
        <is>
          <t>M1</t>
        </is>
      </c>
      <c r="B10" t="inlineStr">
        <is>
          <t>Mitigation</t>
        </is>
      </c>
      <c r="C10" t="inlineStr">
        <is>
          <t>Check-in plan</t>
        </is>
      </c>
      <c r="D10" t="inlineStr">
        <is>
          <t>High</t>
        </is>
      </c>
      <c r="E10" s="2" t="inlineStr">
        <is>
          <t>In place and tested</t>
        </is>
      </c>
      <c r="F10">
        <f>VLOOKUP(D10,Weights!$A$2:$B$5,2,FALSE)</f>
        <v/>
      </c>
      <c r="G10">
        <f>INDEX(Options!$D$2:$D$37,MATCH(A10&amp;"|"&amp;E10,Options!$A$2:$A$37,0))</f>
        <v/>
      </c>
      <c r="H10">
        <f>INDEX(Options!$E$2:$E$37,MATCH(A10&amp;"|"&amp;E10,Options!$A$2:$A$37,0))</f>
        <v/>
      </c>
      <c r="I10">
        <f>G10*F10</f>
        <v/>
      </c>
      <c r="J10">
        <f>H10*F10</f>
        <v/>
      </c>
      <c r="K10">
        <f>IF(AND(D10="Critical",G10=10),1,0)</f>
        <v/>
      </c>
    </row>
    <row r="11">
      <c r="A11" t="inlineStr">
        <is>
          <t>M2</t>
        </is>
      </c>
      <c r="B11" t="inlineStr">
        <is>
          <t>Mitigation</t>
        </is>
      </c>
      <c r="C11" t="inlineStr">
        <is>
          <t>Second person attending</t>
        </is>
      </c>
      <c r="D11" t="inlineStr">
        <is>
          <t>Medium</t>
        </is>
      </c>
      <c r="E11" s="2" t="inlineStr">
        <is>
          <t>In place and tested</t>
        </is>
      </c>
      <c r="F11">
        <f>VLOOKUP(D11,Weights!$A$2:$B$5,2,FALSE)</f>
        <v/>
      </c>
      <c r="G11">
        <f>INDEX(Options!$D$2:$D$37,MATCH(A11&amp;"|"&amp;E11,Options!$A$2:$A$37,0))</f>
        <v/>
      </c>
      <c r="H11">
        <f>INDEX(Options!$E$2:$E$37,MATCH(A11&amp;"|"&amp;E11,Options!$A$2:$A$37,0))</f>
        <v/>
      </c>
      <c r="I11">
        <f>G11*F11</f>
        <v/>
      </c>
      <c r="J11">
        <f>H11*F11</f>
        <v/>
      </c>
      <c r="K11">
        <f>IF(AND(D11="Critical",G11=10),1,0)</f>
        <v/>
      </c>
    </row>
    <row r="12">
      <c r="A12" t="inlineStr">
        <is>
          <t>M3</t>
        </is>
      </c>
      <c r="B12" t="inlineStr">
        <is>
          <t>Mitigation</t>
        </is>
      </c>
      <c r="C12" t="inlineStr">
        <is>
          <t>Satellite communicator</t>
        </is>
      </c>
      <c r="D12" t="inlineStr">
        <is>
          <t>Low</t>
        </is>
      </c>
      <c r="E12" s="2" t="inlineStr">
        <is>
          <t>In place and tested</t>
        </is>
      </c>
      <c r="F12">
        <f>VLOOKUP(D12,Weights!$A$2:$B$5,2,FALSE)</f>
        <v/>
      </c>
      <c r="G12">
        <f>INDEX(Options!$D$2:$D$37,MATCH(A12&amp;"|"&amp;E12,Options!$A$2:$A$37,0))</f>
        <v/>
      </c>
      <c r="H12">
        <f>INDEX(Options!$E$2:$E$37,MATCH(A12&amp;"|"&amp;E12,Options!$A$2:$A$37,0))</f>
        <v/>
      </c>
      <c r="I12">
        <f>G12*F12</f>
        <v/>
      </c>
      <c r="J12">
        <f>H12*F12</f>
        <v/>
      </c>
      <c r="K12">
        <f>IF(AND(D12="Critical",G12=10),1,0)</f>
        <v/>
      </c>
    </row>
    <row r="14">
      <c r="H14" t="inlineStr">
        <is>
          <t>Likelihood subtotal</t>
        </is>
      </c>
      <c r="I14">
        <f>MAX(1,SUMIF($B$4:$B$12,"Likelihood",$I$4:$I$12))</f>
        <v/>
      </c>
    </row>
    <row r="15">
      <c r="H15" t="inlineStr">
        <is>
          <t>Consequence subtotal</t>
        </is>
      </c>
      <c r="I15">
        <f>MAX(1,SUMIF($B$4:$B$12,"Consequence",$I$4:$I$12))</f>
        <v/>
      </c>
    </row>
    <row r="16">
      <c r="H16" t="inlineStr">
        <is>
          <t>Mitigation subtotal</t>
        </is>
      </c>
      <c r="I16">
        <f>MAX(1,SUMIF($B$4:$B$12,"Mitigation",$I$4:$I$12))</f>
        <v/>
      </c>
    </row>
    <row r="18">
      <c r="H18" s="1" t="inlineStr">
        <is>
          <t>Total risk score</t>
        </is>
      </c>
      <c r="I18">
        <f>I14*I15*I16</f>
        <v/>
      </c>
    </row>
    <row r="19">
      <c r="H19" s="1" t="inlineStr">
        <is>
          <t>Overall risk</t>
        </is>
      </c>
      <c r="I19">
        <f>IF(I18&lt;50000,"Low",IF(I18&lt;300000,"Moderate",IF(I18&lt;1000000,"High","Extreme")))</f>
        <v/>
      </c>
    </row>
    <row r="20">
      <c r="H20" s="1" t="inlineStr">
        <is>
          <t>Uncertainty score</t>
        </is>
      </c>
      <c r="I20">
        <f>SUM(J4:J12)</f>
        <v/>
      </c>
    </row>
    <row r="21">
      <c r="H21" s="1" t="inlineStr">
        <is>
          <t>Uncertainty level</t>
        </is>
      </c>
      <c r="I21">
        <f>IF(I20&lt;60,"Low",IF(I20&lt;90,"Medium","High"))</f>
        <v/>
      </c>
    </row>
    <row r="22">
      <c r="H22" s="1" t="inlineStr">
        <is>
          <t>Single critical factor warning</t>
        </is>
      </c>
      <c r="I22">
        <f>IF(SUM(K4:K12)&gt;0,"WARNING","")</f>
        <v/>
      </c>
    </row>
    <row r="23">
      <c r="H23" s="1" t="inlineStr">
        <is>
          <t>Supervisor approval required</t>
        </is>
      </c>
      <c r="I23">
        <f>IF(OR(I22="WARNING",I19="High",I19="Extreme"),"Yes","No")</f>
        <v/>
      </c>
    </row>
  </sheetData>
  <dataValidations count="9">
    <dataValidation sqref="E4" showDropDown="0" showInputMessage="0" showErrorMessage="0" allowBlank="0" type="list">
      <formula1>"None known,Possible,Likely,Confirmed"</formula1>
    </dataValidation>
    <dataValidation sqref="E5" showDropDown="0" showInputMessage="0" showErrorMessage="0" allowBlank="0" type="list">
      <formula1>"None known,Possible,Likely,Confirmed"</formula1>
    </dataValidation>
    <dataValidation sqref="E6" showDropDown="0" showInputMessage="0" showErrorMessage="0" allowBlank="0" type="list">
      <formula1>"None known,Possible,Likely,Confirmed"</formula1>
    </dataValidation>
    <dataValidation sqref="E7" showDropDown="0" showInputMessage="0" showErrorMessage="0" allowBlank="0" type="list">
      <formula1>"None known,Possible,Likely,Confirmed"</formula1>
    </dataValidation>
    <dataValidation sqref="E8" showDropDown="0" showInputMessage="0" showErrorMessage="0" allowBlank="0" type="list">
      <formula1>"None known,Possible,Likely,Confirmed"</formula1>
    </dataValidation>
    <dataValidation sqref="E9" showDropDown="0" showInputMessage="0" showErrorMessage="0" allowBlank="0" type="list">
      <formula1>"None known,Possible,Likely,Confirmed"</formula1>
    </dataValidation>
    <dataValidation sqref="E10" showDropDown="0" showInputMessage="0" showErrorMessage="0" allowBlank="0" type="list">
      <formula1>"In place and tested,In place,Informal,None"</formula1>
    </dataValidation>
    <dataValidation sqref="E11" showDropDown="0" showInputMessage="0" showErrorMessage="0" allowBlank="0" type="list">
      <formula1>"In place and tested,In place,Informal,None"</formula1>
    </dataValidation>
    <dataValidation sqref="E12" showDropDown="0" showInputMessage="0" showErrorMessage="0" allowBlank="0" type="list">
      <formula1>"In place and tested,In place,Informal,None"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category</t>
        </is>
      </c>
      <c r="B1" t="inlineStr">
        <is>
          <t>Weight</t>
        </is>
      </c>
    </row>
    <row r="2">
      <c r="A2" t="inlineStr">
        <is>
          <t>Low</t>
        </is>
      </c>
      <c r="B2" t="n">
        <v>1</v>
      </c>
    </row>
    <row r="3">
      <c r="A3" t="inlineStr">
        <is>
          <t>Medium</t>
        </is>
      </c>
      <c r="B3" t="n">
        <v>3</v>
      </c>
    </row>
    <row r="4">
      <c r="A4" t="inlineStr">
        <is>
          <t>High</t>
        </is>
      </c>
      <c r="B4" t="n">
        <v>5</v>
      </c>
    </row>
    <row r="5">
      <c r="A5" t="inlineStr">
        <is>
          <t>Critical</t>
        </is>
      </c>
      <c r="B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Factor</t>
        </is>
      </c>
      <c r="C1" t="inlineStr">
        <is>
          <t>Option</t>
        </is>
      </c>
      <c r="D1" t="inlineStr">
        <is>
          <t>Risk score</t>
        </is>
      </c>
      <c r="E1" t="inlineStr">
        <is>
          <t>Uncertainty score</t>
        </is>
      </c>
    </row>
    <row r="2">
      <c r="A2" t="inlineStr">
        <is>
          <t>L1|None known</t>
        </is>
      </c>
      <c r="B2" t="inlineStr">
        <is>
          <t>L1</t>
        </is>
      </c>
      <c r="C2" t="inlineStr">
        <is>
          <t>None known</t>
        </is>
      </c>
      <c r="D2" t="n">
        <v>1</v>
      </c>
      <c r="E2" t="n">
        <v>2</v>
      </c>
    </row>
    <row r="3">
      <c r="A3" t="inlineStr">
        <is>
          <t>L1|Possible</t>
        </is>
      </c>
      <c r="B3" t="inlineStr">
        <is>
          <t>L1</t>
        </is>
      </c>
      <c r="C3" t="inlineStr">
        <is>
          <t>Possible</t>
        </is>
      </c>
      <c r="D3" t="n">
        <v>3</v>
      </c>
      <c r="E3" t="n">
        <v>3</v>
      </c>
    </row>
    <row r="4">
      <c r="A4" t="inlineStr">
        <is>
          <t>L1|Likely</t>
        </is>
      </c>
      <c r="B4" t="inlineStr">
        <is>
          <t>L1</t>
        </is>
      </c>
      <c r="C4" t="inlineStr">
        <is>
          <t>Likely</t>
        </is>
      </c>
      <c r="D4" t="n">
        <v>6</v>
      </c>
      <c r="E4" t="n">
        <v>2</v>
      </c>
    </row>
    <row r="5">
      <c r="A5" t="inlineStr">
        <is>
          <t>L1|Confirmed</t>
        </is>
      </c>
      <c r="B5" t="inlineStr">
        <is>
          <t>L1</t>
        </is>
      </c>
      <c r="C5" t="inlineStr">
        <is>
          <t>Confirmed</t>
        </is>
      </c>
      <c r="D5" t="n">
        <v>10</v>
      </c>
      <c r="E5" t="n">
        <v>1</v>
      </c>
    </row>
    <row r="6">
      <c r="A6" t="inlineStr">
        <is>
          <t>L2|None known</t>
        </is>
      </c>
      <c r="B6" t="inlineStr">
        <is>
          <t>L2</t>
        </is>
      </c>
      <c r="C6" t="inlineStr">
        <is>
          <t>None known</t>
        </is>
      </c>
      <c r="D6" t="n">
        <v>1</v>
      </c>
      <c r="E6" t="n">
        <v>2</v>
      </c>
    </row>
    <row r="7">
      <c r="A7" t="inlineStr">
        <is>
          <t>L2|Possible</t>
        </is>
      </c>
      <c r="B7" t="inlineStr">
        <is>
          <t>L2</t>
        </is>
      </c>
      <c r="C7" t="inlineStr">
        <is>
          <t>Possible</t>
        </is>
      </c>
      <c r="D7" t="n">
        <v>3</v>
      </c>
      <c r="E7" t="n">
        <v>3</v>
      </c>
    </row>
    <row r="8">
      <c r="A8" t="inlineStr">
        <is>
          <t>L2|Likely</t>
        </is>
      </c>
      <c r="B8" t="inlineStr">
        <is>
          <t>L2</t>
        </is>
      </c>
      <c r="C8" t="inlineStr">
        <is>
          <t>Likely</t>
        </is>
      </c>
      <c r="D8" t="n">
        <v>6</v>
      </c>
      <c r="E8" t="n">
        <v>2</v>
      </c>
    </row>
    <row r="9">
      <c r="A9" t="inlineStr">
        <is>
          <t>L2|Confirmed</t>
        </is>
      </c>
      <c r="B9" t="inlineStr">
        <is>
          <t>L2</t>
        </is>
      </c>
      <c r="C9" t="inlineStr">
        <is>
          <t>Confirmed</t>
        </is>
      </c>
      <c r="D9" t="n">
        <v>10</v>
      </c>
      <c r="E9" t="n">
        <v>1</v>
      </c>
    </row>
    <row r="10">
      <c r="A10" t="inlineStr">
        <is>
          <t>L3|None known</t>
        </is>
      </c>
      <c r="B10" t="inlineStr">
        <is>
          <t>L3</t>
        </is>
      </c>
      <c r="C10" t="inlineStr">
        <is>
          <t>None known</t>
        </is>
      </c>
      <c r="D10" t="n">
        <v>1</v>
      </c>
      <c r="E10" t="n">
        <v>2</v>
      </c>
    </row>
    <row r="11">
      <c r="A11" t="inlineStr">
        <is>
          <t>L3|Possible</t>
        </is>
      </c>
      <c r="B11" t="inlineStr">
        <is>
          <t>L3</t>
        </is>
      </c>
      <c r="C11" t="inlineStr">
        <is>
          <t>Possible</t>
        </is>
      </c>
      <c r="D11" t="n">
        <v>3</v>
      </c>
      <c r="E11" t="n">
        <v>3</v>
      </c>
    </row>
    <row r="12">
      <c r="A12" t="inlineStr">
        <is>
          <t>L3|Likely</t>
        </is>
      </c>
      <c r="B12" t="inlineStr">
        <is>
          <t>L3</t>
        </is>
      </c>
      <c r="C12" t="inlineStr">
        <is>
          <t>Likely</t>
        </is>
      </c>
      <c r="D12" t="n">
        <v>6</v>
      </c>
      <c r="E12" t="n">
        <v>2</v>
      </c>
    </row>
    <row r="13">
      <c r="A13" t="inlineStr">
        <is>
          <t>L3|Confirmed</t>
        </is>
      </c>
      <c r="B13" t="inlineStr">
        <is>
          <t>L3</t>
        </is>
      </c>
      <c r="C13" t="inlineStr">
        <is>
          <t>Confirmed</t>
        </is>
      </c>
      <c r="D13" t="n">
        <v>10</v>
      </c>
      <c r="E13" t="n">
        <v>1</v>
      </c>
    </row>
    <row r="14">
      <c r="A14" t="inlineStr">
        <is>
          <t>C1|None known</t>
        </is>
      </c>
      <c r="B14" t="inlineStr">
        <is>
          <t>C1</t>
        </is>
      </c>
      <c r="C14" t="inlineStr">
        <is>
          <t>None known</t>
        </is>
      </c>
      <c r="D14" t="n">
        <v>1</v>
      </c>
      <c r="E14" t="n">
        <v>2</v>
      </c>
    </row>
    <row r="15">
      <c r="A15" t="inlineStr">
        <is>
          <t>C1|Possible</t>
        </is>
      </c>
      <c r="B15" t="inlineStr">
        <is>
          <t>C1</t>
        </is>
      </c>
      <c r="C15" t="inlineStr">
        <is>
          <t>Possible</t>
        </is>
      </c>
      <c r="D15" t="n">
        <v>3</v>
      </c>
      <c r="E15" t="n">
        <v>3</v>
      </c>
    </row>
    <row r="16">
      <c r="A16" t="inlineStr">
        <is>
          <t>C1|Likely</t>
        </is>
      </c>
      <c r="B16" t="inlineStr">
        <is>
          <t>C1</t>
        </is>
      </c>
      <c r="C16" t="inlineStr">
        <is>
          <t>Likely</t>
        </is>
      </c>
      <c r="D16" t="n">
        <v>6</v>
      </c>
      <c r="E16" t="n">
        <v>2</v>
      </c>
    </row>
    <row r="17">
      <c r="A17" t="inlineStr">
        <is>
          <t>C1|Confirmed</t>
        </is>
      </c>
      <c r="B17" t="inlineStr">
        <is>
          <t>C1</t>
        </is>
      </c>
      <c r="C17" t="inlineStr">
        <is>
          <t>Confirmed</t>
        </is>
      </c>
      <c r="D17" t="n">
        <v>10</v>
      </c>
      <c r="E17" t="n">
        <v>1</v>
      </c>
    </row>
    <row r="18">
      <c r="A18" t="inlineStr">
        <is>
          <t>C2|None known</t>
        </is>
      </c>
      <c r="B18" t="inlineStr">
        <is>
          <t>C2</t>
        </is>
      </c>
      <c r="C18" t="inlineStr">
        <is>
          <t>None known</t>
        </is>
      </c>
      <c r="D18" t="n">
        <v>1</v>
      </c>
      <c r="E18" t="n">
        <v>2</v>
      </c>
    </row>
    <row r="19">
      <c r="A19" t="inlineStr">
        <is>
          <t>C2|Possible</t>
        </is>
      </c>
      <c r="B19" t="inlineStr">
        <is>
          <t>C2</t>
        </is>
      </c>
      <c r="C19" t="inlineStr">
        <is>
          <t>Possible</t>
        </is>
      </c>
      <c r="D19" t="n">
        <v>3</v>
      </c>
      <c r="E19" t="n">
        <v>3</v>
      </c>
    </row>
    <row r="20">
      <c r="A20" t="inlineStr">
        <is>
          <t>C2|Likely</t>
        </is>
      </c>
      <c r="B20" t="inlineStr">
        <is>
          <t>C2</t>
        </is>
      </c>
      <c r="C20" t="inlineStr">
        <is>
          <t>Likely</t>
        </is>
      </c>
      <c r="D20" t="n">
        <v>6</v>
      </c>
      <c r="E20" t="n">
        <v>2</v>
      </c>
    </row>
    <row r="21">
      <c r="A21" t="inlineStr">
        <is>
          <t>C2|Confirmed</t>
        </is>
      </c>
      <c r="B21" t="inlineStr">
        <is>
          <t>C2</t>
        </is>
      </c>
      <c r="C21" t="inlineStr">
        <is>
          <t>Confirmed</t>
        </is>
      </c>
      <c r="D21" t="n">
        <v>10</v>
      </c>
      <c r="E21" t="n">
        <v>1</v>
      </c>
    </row>
    <row r="22">
      <c r="A22" t="inlineStr">
        <is>
          <t>C3|None known</t>
        </is>
      </c>
      <c r="B22" t="inlineStr">
        <is>
          <t>C3</t>
        </is>
      </c>
      <c r="C22" t="inlineStr">
        <is>
          <t>None known</t>
        </is>
      </c>
      <c r="D22" t="n">
        <v>1</v>
      </c>
      <c r="E22" t="n">
        <v>2</v>
      </c>
    </row>
    <row r="23">
      <c r="A23" t="inlineStr">
        <is>
          <t>C3|Possible</t>
        </is>
      </c>
      <c r="B23" t="inlineStr">
        <is>
          <t>C3</t>
        </is>
      </c>
      <c r="C23" t="inlineStr">
        <is>
          <t>Possible</t>
        </is>
      </c>
      <c r="D23" t="n">
        <v>3</v>
      </c>
      <c r="E23" t="n">
        <v>3</v>
      </c>
    </row>
    <row r="24">
      <c r="A24" t="inlineStr">
        <is>
          <t>C3|Likely</t>
        </is>
      </c>
      <c r="B24" t="inlineStr">
        <is>
          <t>C3</t>
        </is>
      </c>
      <c r="C24" t="inlineStr">
        <is>
          <t>Likely</t>
        </is>
      </c>
      <c r="D24" t="n">
        <v>6</v>
      </c>
      <c r="E24" t="n">
        <v>2</v>
      </c>
    </row>
    <row r="25">
      <c r="A25" t="inlineStr">
        <is>
          <t>C3|Confirmed</t>
        </is>
      </c>
      <c r="B25" t="inlineStr">
        <is>
          <t>C3</t>
        </is>
      </c>
      <c r="C25" t="inlineStr">
        <is>
          <t>Confirmed</t>
        </is>
      </c>
      <c r="D25" t="n">
        <v>10</v>
      </c>
      <c r="E25" t="n">
        <v>1</v>
      </c>
    </row>
    <row r="26">
      <c r="A26" t="inlineStr">
        <is>
          <t>M1|In place and tested</t>
        </is>
      </c>
      <c r="B26" t="inlineStr">
        <is>
          <t>M1</t>
        </is>
      </c>
      <c r="C26" t="inlineStr">
        <is>
          <t>In place and tested</t>
        </is>
      </c>
      <c r="D26" t="n">
        <v>0</v>
      </c>
      <c r="E26" t="n">
        <v>1</v>
      </c>
    </row>
    <row r="27">
      <c r="A27" t="inlineStr">
        <is>
          <t>M1|In place</t>
        </is>
      </c>
      <c r="B27" t="inlineStr">
        <is>
          <t>M1</t>
        </is>
      </c>
      <c r="C27" t="inlineStr">
        <is>
          <t>In place</t>
        </is>
      </c>
      <c r="D27" t="n">
        <v>3</v>
      </c>
      <c r="E27" t="n">
        <v>3</v>
      </c>
    </row>
    <row r="28">
      <c r="A28" t="inlineStr">
        <is>
          <t>M1|Informal</t>
        </is>
      </c>
      <c r="B28" t="inlineStr">
        <is>
          <t>M1</t>
        </is>
      </c>
      <c r="C28" t="inlineStr">
        <is>
          <t>Informal</t>
        </is>
      </c>
      <c r="D28" t="n">
        <v>6</v>
      </c>
      <c r="E28" t="n">
        <v>2</v>
      </c>
    </row>
    <row r="29">
      <c r="A29" t="inlineStr">
        <is>
          <t>M1|None</t>
        </is>
      </c>
      <c r="B29" t="inlineStr">
        <is>
          <t>M1</t>
        </is>
      </c>
      <c r="C29" t="inlineStr">
        <is>
          <t>None</t>
        </is>
      </c>
      <c r="D29" t="n">
        <v>10</v>
      </c>
      <c r="E29" t="n">
        <v>1</v>
      </c>
    </row>
    <row r="30">
      <c r="A30" t="inlineStr">
        <is>
          <t>M2|In place and tested</t>
        </is>
      </c>
      <c r="B30" t="inlineStr">
        <is>
          <t>M2</t>
        </is>
      </c>
      <c r="C30" t="inlineStr">
        <is>
          <t>In place and tested</t>
        </is>
      </c>
      <c r="D30" t="n">
        <v>0</v>
      </c>
      <c r="E30" t="n">
        <v>1</v>
      </c>
    </row>
    <row r="31">
      <c r="A31" t="inlineStr">
        <is>
          <t>M2|In place</t>
        </is>
      </c>
      <c r="B31" t="inlineStr">
        <is>
          <t>M2</t>
        </is>
      </c>
      <c r="C31" t="inlineStr">
        <is>
          <t>In place</t>
        </is>
      </c>
      <c r="D31" t="n">
        <v>3</v>
      </c>
      <c r="E31" t="n">
        <v>3</v>
      </c>
    </row>
    <row r="32">
      <c r="A32" t="inlineStr">
        <is>
          <t>M2|Informal</t>
        </is>
      </c>
      <c r="B32" t="inlineStr">
        <is>
          <t>M2</t>
        </is>
      </c>
      <c r="C32" t="inlineStr">
        <is>
          <t>Informal</t>
        </is>
      </c>
      <c r="D32" t="n">
        <v>6</v>
      </c>
      <c r="E32" t="n">
        <v>2</v>
      </c>
    </row>
    <row r="33">
      <c r="A33" t="inlineStr">
        <is>
          <t>M2|None</t>
        </is>
      </c>
      <c r="B33" t="inlineStr">
        <is>
          <t>M2</t>
        </is>
      </c>
      <c r="C33" t="inlineStr">
        <is>
          <t>None</t>
        </is>
      </c>
      <c r="D33" t="n">
        <v>10</v>
      </c>
      <c r="E33" t="n">
        <v>1</v>
      </c>
    </row>
    <row r="34">
      <c r="A34" t="inlineStr">
        <is>
          <t>M3|In place and tested</t>
        </is>
      </c>
      <c r="B34" t="inlineStr">
        <is>
          <t>M3</t>
        </is>
      </c>
      <c r="C34" t="inlineStr">
        <is>
          <t>In place and tested</t>
        </is>
      </c>
      <c r="D34" t="n">
        <v>0</v>
      </c>
      <c r="E34" t="n">
        <v>1</v>
      </c>
    </row>
    <row r="35">
      <c r="A35" t="inlineStr">
        <is>
          <t>M3|In place</t>
        </is>
      </c>
      <c r="B35" t="inlineStr">
        <is>
          <t>M3</t>
        </is>
      </c>
      <c r="C35" t="inlineStr">
        <is>
          <t>In place</t>
        </is>
      </c>
      <c r="D35" t="n">
        <v>3</v>
      </c>
      <c r="E35" t="n">
        <v>3</v>
      </c>
    </row>
    <row r="36">
      <c r="A36" t="inlineStr">
        <is>
          <t>M3|Informal</t>
        </is>
      </c>
      <c r="B36" t="inlineStr">
        <is>
          <t>M3</t>
        </is>
      </c>
      <c r="C36" t="inlineStr">
        <is>
          <t>Informal</t>
        </is>
      </c>
      <c r="D36" t="n">
        <v>6</v>
      </c>
      <c r="E36" t="n">
        <v>2</v>
      </c>
    </row>
    <row r="37">
      <c r="A37" t="inlineStr">
        <is>
          <t>M3|None</t>
        </is>
      </c>
      <c r="B37" t="inlineStr">
        <is>
          <t>M3</t>
        </is>
      </c>
      <c r="C37" t="inlineStr">
        <is>
          <t>None</t>
        </is>
      </c>
      <c r="D37" t="n">
        <v>10</v>
      </c>
      <c r="E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2026-10-19T01:42:50Z</dcterms:created>
  <dcterms:modified xmlns:dcterms="http://purl.org/dc/terms/" xmlns:xsi="http://www.w3.org/2001/XMLSchema-instance" xsi:type="dcterms:W3CDTF">2026-10-19T01:42:50Z</dcterms:modified>
</cp:coreProperties>
</file>